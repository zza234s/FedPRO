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<sst xmlns="http://schemas.openxmlformats.org/spreadsheetml/2006/main" count="33" uniqueCount="14">
  <si>
    <t>Method</t>
  </si>
  <si>
    <t>CICIDS2018</t>
  </si>
  <si>
    <t>NSL-KDD</t>
  </si>
  <si>
    <t>Avg</t>
  </si>
  <si>
    <t>Local</t>
  </si>
  <si>
    <t>Base</t>
  </si>
  <si>
    <t>Ensemble</t>
  </si>
  <si>
    <t>Imp.</t>
  </si>
  <si>
    <t>FedAvg</t>
  </si>
  <si>
    <t>MOON</t>
  </si>
  <si>
    <t>FedProto</t>
  </si>
  <si>
    <t>FedTGP</t>
  </si>
  <si>
    <t>GPFL</t>
  </si>
  <si>
    <t>FedDBE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</si>
</sst>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7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8" borderId="4">
      <alignment vertical="center"/>
    </xf>
    <xf numFmtId="0" fontId="11" fillId="9" borderId="5">
      <alignment vertical="center"/>
    </xf>
    <xf numFmtId="0" fontId="12" fillId="9" borderId="4">
      <alignment vertical="center"/>
    </xf>
    <xf numFmtId="0" fontId="13" fillId="10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11" borderId="0">
      <alignment vertical="center"/>
    </xf>
    <xf numFmtId="0" fontId="17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  <xf numFmtId="0" fontId="19" fillId="34" borderId="0">
      <alignment vertical="center"/>
    </xf>
    <xf numFmtId="0" fontId="20" fillId="35" borderId="0">
      <alignment vertical="center"/>
    </xf>
    <xf numFmtId="0" fontId="20" fillId="36" borderId="0">
      <alignment vertical="center"/>
    </xf>
    <xf numFmtId="0" fontId="19" fillId="37" borderId="0">
      <alignment vertical="center"/>
    </xf>
  </cellStyleXfs>
  <cellXfs count="18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176" fontId="0" fillId="2" borderId="0" xfId="0" applyNumberFormat="1" applyFill="1" applyAlignment="1">
      <alignment horizontal="center" vertical="center"/>
    </xf>
    <xf numFmtId="176" fontId="0" fillId="2" borderId="0" xfId="0" applyNumberFormat="1" applyFill="1">
      <alignment vertical="center"/>
    </xf>
    <xf numFmtId="176" fontId="0" fillId="3" borderId="0" xfId="0" applyNumberForma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176" fontId="1" fillId="4" borderId="0" xfId="0" applyNumberFormat="1" applyFont="1" applyFill="1" applyAlignment="1">
      <alignment horizontal="center" vertical="center"/>
    </xf>
    <xf numFmtId="176" fontId="1" fillId="4" borderId="0" xfId="0" applyNumberFormat="1" applyFont="1" applyFill="1">
      <alignment vertical="center"/>
    </xf>
    <xf numFmtId="176" fontId="1" fillId="3" borderId="0" xfId="0" applyNumberFormat="1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176" fontId="0" fillId="5" borderId="0" xfId="0" applyNumberFormat="1" applyFill="1" applyAlignment="1">
      <alignment horizontal="center" vertical="center"/>
    </xf>
    <xf numFmtId="176" fontId="0" fillId="5" borderId="0" xfId="0" applyNumberFormat="1" applyFill="1">
      <alignment vertical="center"/>
    </xf>
    <xf numFmtId="0" fontId="0" fillId="6" borderId="0" xfId="0" applyFill="1" applyAlignment="1">
      <alignment horizontal="center" vertical="center"/>
    </xf>
    <xf numFmtId="176" fontId="0" fillId="6" borderId="0" xfId="0" applyNumberFormat="1" applyFill="1" applyAlignment="1">
      <alignment horizontal="center" vertical="center"/>
    </xf>
    <xf numFmtId="176" fontId="0" fillId="6" borderId="0" xfId="0" applyNumberForma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E7E6E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3"/>
  <sheetViews>
    <sheetView tabSelected="1" zoomScale="145" zoomScaleNormal="145" workbookViewId="0">
      <selection activeCell="P13" sqref="P13"/>
    </sheetView>
  </sheetViews>
  <sheetFormatPr defaultColWidth="9" defaultRowHeight="13.5"/>
  <cols>
    <col min="7" max="7" width="7.375" customWidth="1"/>
  </cols>
  <sheetData>
    <row r="1" spans="1:12">
      <c r="A1" s="1" t="s">
        <v>0</v>
      </c>
      <c r="B1" s="1"/>
      <c r="C1" s="1" t="s">
        <v>1</v>
      </c>
      <c r="D1" s="1"/>
      <c r="E1" s="1"/>
      <c r="F1" s="1"/>
      <c r="G1" s="1"/>
      <c r="H1" s="1" t="s">
        <v>2</v>
      </c>
      <c r="I1" s="1"/>
      <c r="J1" s="1"/>
      <c r="K1" s="1"/>
      <c r="L1" s="1"/>
    </row>
    <row r="2" spans="1:12">
      <c r="A2" s="1"/>
      <c r="B2" s="1"/>
      <c r="C2" s="1">
        <v>0.1</v>
      </c>
      <c r="D2" s="1">
        <v>0.5</v>
      </c>
      <c r="E2" s="1">
        <v>1</v>
      </c>
      <c r="F2" s="1">
        <v>10</v>
      </c>
      <c r="G2" s="2" t="s">
        <v>3</v>
      </c>
      <c r="H2" s="1">
        <v>0.1</v>
      </c>
      <c r="I2" s="1">
        <v>0.5</v>
      </c>
      <c r="J2" s="1">
        <v>1</v>
      </c>
      <c r="K2" s="1">
        <v>10</v>
      </c>
      <c r="L2" s="3" t="s">
        <v>3</v>
      </c>
    </row>
    <row r="3" spans="1:12">
      <c r="A3" s="4" t="s">
        <v>4</v>
      </c>
      <c r="B3" s="4" t="s">
        <v>5</v>
      </c>
      <c r="C3" s="5">
        <v>68.57</v>
      </c>
      <c r="D3" s="5">
        <v>73.75</v>
      </c>
      <c r="E3" s="5">
        <v>71.77</v>
      </c>
      <c r="F3" s="5">
        <v>89.06</v>
      </c>
      <c r="G3" s="6">
        <f t="shared" ref="G3:G23" si="0">AVERAGE(C3:F3)</f>
        <v>75.7875</v>
      </c>
      <c r="H3" s="5">
        <v>36.04</v>
      </c>
      <c r="I3" s="5">
        <v>68.94</v>
      </c>
      <c r="J3" s="5">
        <v>70.19</v>
      </c>
      <c r="K3" s="5">
        <v>74.76</v>
      </c>
      <c r="L3" s="6">
        <f t="shared" ref="L3:L10" si="1">AVERAGE(H3:K3)</f>
        <v>62.4825</v>
      </c>
    </row>
    <row r="4" spans="1:12">
      <c r="A4" s="4"/>
      <c r="B4" s="4" t="s">
        <v>6</v>
      </c>
      <c r="C4" s="5">
        <v>73.06</v>
      </c>
      <c r="D4" s="5">
        <v>72.56</v>
      </c>
      <c r="E4" s="5">
        <v>76.4</v>
      </c>
      <c r="F4" s="5">
        <v>89.73</v>
      </c>
      <c r="G4" s="6">
        <f t="shared" si="0"/>
        <v>77.9375</v>
      </c>
      <c r="H4" s="5">
        <v>38.54</v>
      </c>
      <c r="I4" s="5">
        <v>64.12</v>
      </c>
      <c r="J4" s="5">
        <v>68.79</v>
      </c>
      <c r="K4" s="5">
        <v>74.54</v>
      </c>
      <c r="L4" s="6">
        <f t="shared" si="1"/>
        <v>61.4975</v>
      </c>
    </row>
    <row r="5" spans="1:12">
      <c r="A5" s="4"/>
      <c r="B5" s="4" t="s">
        <v>7</v>
      </c>
      <c r="C5" s="5">
        <f t="shared" ref="C5:G5" si="2">C4-C3</f>
        <v>4.49000000000001</v>
      </c>
      <c r="D5" s="5">
        <f t="shared" si="2"/>
        <v>-1.19</v>
      </c>
      <c r="E5" s="5">
        <f t="shared" si="2"/>
        <v>4.63000000000001</v>
      </c>
      <c r="F5" s="5">
        <f t="shared" si="2"/>
        <v>0.670000000000002</v>
      </c>
      <c r="G5" s="6">
        <f t="shared" si="2"/>
        <v>2.15000000000001</v>
      </c>
      <c r="H5" s="5">
        <f t="shared" ref="H5:L5" si="3">H4-H3</f>
        <v>2.5</v>
      </c>
      <c r="I5" s="5">
        <f t="shared" si="3"/>
        <v>-4.81999999999999</v>
      </c>
      <c r="J5" s="5">
        <f t="shared" si="3"/>
        <v>-1.39999999999999</v>
      </c>
      <c r="K5" s="5">
        <f t="shared" si="3"/>
        <v>-0.219999999999999</v>
      </c>
      <c r="L5" s="5">
        <f t="shared" si="3"/>
        <v>-0.984999999999999</v>
      </c>
    </row>
    <row r="6" spans="1:12">
      <c r="A6" s="7" t="s">
        <v>8</v>
      </c>
      <c r="B6" s="7" t="s">
        <v>5</v>
      </c>
      <c r="C6" s="7">
        <v>81.08</v>
      </c>
      <c r="D6" s="7">
        <v>79.02</v>
      </c>
      <c r="E6" s="7">
        <v>89.72</v>
      </c>
      <c r="F6" s="7">
        <v>89.59</v>
      </c>
      <c r="G6" s="7">
        <f t="shared" si="0"/>
        <v>84.8525</v>
      </c>
      <c r="H6" s="7">
        <v>43.95</v>
      </c>
      <c r="I6" s="7">
        <v>74.75</v>
      </c>
      <c r="J6" s="7">
        <v>76.53</v>
      </c>
      <c r="K6" s="7">
        <v>77.02</v>
      </c>
      <c r="L6" s="7">
        <f t="shared" si="1"/>
        <v>68.0625</v>
      </c>
    </row>
    <row r="7" spans="1:12">
      <c r="A7" s="7"/>
      <c r="B7" s="7" t="s">
        <v>6</v>
      </c>
      <c r="C7" s="7">
        <v>85.68</v>
      </c>
      <c r="D7" s="7">
        <v>87.65</v>
      </c>
      <c r="E7" s="7">
        <v>91.7</v>
      </c>
      <c r="F7" s="7">
        <v>94.58</v>
      </c>
      <c r="G7" s="7">
        <f t="shared" si="0"/>
        <v>89.9025</v>
      </c>
      <c r="H7" s="7">
        <v>44.63</v>
      </c>
      <c r="I7" s="7">
        <v>80.04</v>
      </c>
      <c r="J7" s="7">
        <v>80.16</v>
      </c>
      <c r="K7" s="7">
        <v>77.42</v>
      </c>
      <c r="L7" s="7">
        <f t="shared" si="1"/>
        <v>70.5625</v>
      </c>
    </row>
    <row r="8" spans="1:12">
      <c r="A8" s="7"/>
      <c r="B8" s="7" t="s">
        <v>7</v>
      </c>
      <c r="C8" s="7">
        <f t="shared" ref="C8:G8" si="4">C7-C6</f>
        <v>4.60000000000001</v>
      </c>
      <c r="D8" s="7">
        <f t="shared" si="4"/>
        <v>8.63000000000001</v>
      </c>
      <c r="E8" s="7">
        <f t="shared" si="4"/>
        <v>1.98</v>
      </c>
      <c r="F8" s="7">
        <f t="shared" si="4"/>
        <v>4.98999999999999</v>
      </c>
      <c r="G8" s="7">
        <f t="shared" si="4"/>
        <v>5.05000000000001</v>
      </c>
      <c r="H8" s="7">
        <f t="shared" ref="H8:K8" si="5">H7-H6</f>
        <v>0.68</v>
      </c>
      <c r="I8" s="7">
        <f t="shared" si="5"/>
        <v>5.29000000000001</v>
      </c>
      <c r="J8" s="7">
        <f t="shared" si="5"/>
        <v>3.63</v>
      </c>
      <c r="K8" s="7">
        <f t="shared" si="5"/>
        <v>0.400000000000006</v>
      </c>
      <c r="L8" s="7">
        <f t="shared" si="1"/>
        <v>2.5</v>
      </c>
    </row>
    <row r="9" spans="1:12">
      <c r="A9" s="8" t="s">
        <v>9</v>
      </c>
      <c r="B9" s="8" t="s">
        <v>5</v>
      </c>
      <c r="C9" s="9">
        <v>80.4</v>
      </c>
      <c r="D9" s="9">
        <v>79.02</v>
      </c>
      <c r="E9" s="9">
        <v>89.72</v>
      </c>
      <c r="F9" s="9">
        <v>89.63</v>
      </c>
      <c r="G9" s="10">
        <f t="shared" si="0"/>
        <v>84.6925</v>
      </c>
      <c r="H9" s="9">
        <v>43.96</v>
      </c>
      <c r="I9" s="9">
        <v>74.23</v>
      </c>
      <c r="J9" s="9">
        <v>76.75</v>
      </c>
      <c r="K9" s="9">
        <v>77.11</v>
      </c>
      <c r="L9" s="10">
        <f t="shared" si="1"/>
        <v>68.0125</v>
      </c>
    </row>
    <row r="10" spans="1:12">
      <c r="A10" s="8"/>
      <c r="B10" s="8" t="s">
        <v>6</v>
      </c>
      <c r="C10" s="9">
        <v>84.01</v>
      </c>
      <c r="D10" s="9">
        <v>84.41</v>
      </c>
      <c r="E10" s="9">
        <v>91.46</v>
      </c>
      <c r="F10" s="9">
        <v>95.22</v>
      </c>
      <c r="G10" s="10">
        <f t="shared" si="0"/>
        <v>88.775</v>
      </c>
      <c r="H10" s="9">
        <v>44.56</v>
      </c>
      <c r="I10" s="9">
        <v>78.57</v>
      </c>
      <c r="J10" s="9">
        <v>80.19</v>
      </c>
      <c r="K10" s="9">
        <v>77.98</v>
      </c>
      <c r="L10" s="10">
        <f t="shared" si="1"/>
        <v>70.325</v>
      </c>
    </row>
    <row r="11" spans="1:12">
      <c r="A11" s="8"/>
      <c r="B11" s="8" t="s">
        <v>7</v>
      </c>
      <c r="C11" s="9">
        <f t="shared" ref="C11:G11" si="6">C10-C9</f>
        <v>3.61</v>
      </c>
      <c r="D11" s="9">
        <f t="shared" si="6"/>
        <v>5.39</v>
      </c>
      <c r="E11" s="9">
        <f t="shared" si="6"/>
        <v>1.73999999999999</v>
      </c>
      <c r="F11" s="9">
        <f t="shared" si="6"/>
        <v>5.59</v>
      </c>
      <c r="G11" s="10">
        <v>4.09</v>
      </c>
      <c r="H11" s="9">
        <f t="shared" ref="H11:L11" si="7">H10-H9</f>
        <v>0.600000000000001</v>
      </c>
      <c r="I11" s="9">
        <f t="shared" si="7"/>
        <v>4.33999999999999</v>
      </c>
      <c r="J11" s="9">
        <f t="shared" si="7"/>
        <v>3.44</v>
      </c>
      <c r="K11" s="9">
        <f t="shared" si="7"/>
        <v>0.870000000000005</v>
      </c>
      <c r="L11" s="9">
        <f t="shared" si="7"/>
        <v>2.3125</v>
      </c>
    </row>
    <row r="12" spans="1:12">
      <c r="A12" s="7" t="s">
        <v>10</v>
      </c>
      <c r="B12" s="7" t="s">
        <v>5</v>
      </c>
      <c r="C12" s="7">
        <v>65.36</v>
      </c>
      <c r="D12" s="7">
        <v>55.34</v>
      </c>
      <c r="E12" s="7">
        <v>72.46</v>
      </c>
      <c r="F12" s="7">
        <v>72.56</v>
      </c>
      <c r="G12" s="7">
        <f t="shared" si="0"/>
        <v>66.43</v>
      </c>
      <c r="H12" s="7">
        <v>39.57</v>
      </c>
      <c r="I12" s="7">
        <v>68.81</v>
      </c>
      <c r="J12" s="7">
        <v>69.46</v>
      </c>
      <c r="K12" s="11">
        <v>73.97</v>
      </c>
      <c r="L12" s="7">
        <f t="shared" ref="L12:L23" si="8">AVERAGE(H12:K12)</f>
        <v>62.9525</v>
      </c>
    </row>
    <row r="13" spans="1:12">
      <c r="A13" s="7"/>
      <c r="B13" s="7" t="s">
        <v>6</v>
      </c>
      <c r="C13" s="7">
        <v>71.63</v>
      </c>
      <c r="D13" s="7">
        <v>75.86</v>
      </c>
      <c r="E13" s="7">
        <v>80.7</v>
      </c>
      <c r="F13" s="7">
        <v>88.3</v>
      </c>
      <c r="G13" s="7">
        <f t="shared" si="0"/>
        <v>79.1225</v>
      </c>
      <c r="H13" s="7">
        <v>48.56</v>
      </c>
      <c r="I13" s="7">
        <v>69.15</v>
      </c>
      <c r="J13" s="7">
        <v>70.11</v>
      </c>
      <c r="K13" s="11">
        <v>74.67</v>
      </c>
      <c r="L13" s="7">
        <f t="shared" si="8"/>
        <v>65.6225</v>
      </c>
    </row>
    <row r="14" spans="1:12">
      <c r="A14" s="7"/>
      <c r="B14" s="7" t="s">
        <v>7</v>
      </c>
      <c r="C14" s="7">
        <f>C13-C12</f>
        <v>6.27</v>
      </c>
      <c r="D14" s="7">
        <f t="shared" ref="D14:L14" si="9">D13-D12</f>
        <v>20.52</v>
      </c>
      <c r="E14" s="7">
        <f t="shared" si="9"/>
        <v>8.24000000000001</v>
      </c>
      <c r="F14" s="7">
        <f t="shared" si="9"/>
        <v>15.74</v>
      </c>
      <c r="G14" s="7">
        <f t="shared" si="9"/>
        <v>12.6925</v>
      </c>
      <c r="H14" s="7">
        <f t="shared" si="9"/>
        <v>8.99</v>
      </c>
      <c r="I14" s="7">
        <f t="shared" si="9"/>
        <v>0.340000000000003</v>
      </c>
      <c r="J14" s="7">
        <f t="shared" si="9"/>
        <v>0.650000000000006</v>
      </c>
      <c r="K14" s="7">
        <f t="shared" si="9"/>
        <v>0.700000000000003</v>
      </c>
      <c r="L14" s="7">
        <f t="shared" si="9"/>
        <v>2.67000000000001</v>
      </c>
    </row>
    <row r="15" spans="1:12">
      <c r="A15" s="12" t="s">
        <v>11</v>
      </c>
      <c r="B15" s="12" t="s">
        <v>5</v>
      </c>
      <c r="C15" s="13">
        <v>68.13</v>
      </c>
      <c r="D15" s="13">
        <v>56.96</v>
      </c>
      <c r="E15" s="13">
        <v>77.76</v>
      </c>
      <c r="F15" s="13">
        <v>86.62</v>
      </c>
      <c r="G15" s="14">
        <f t="shared" si="0"/>
        <v>72.3675</v>
      </c>
      <c r="H15" s="13">
        <v>41.45</v>
      </c>
      <c r="I15" s="13">
        <v>68.21</v>
      </c>
      <c r="J15" s="13">
        <v>69.29</v>
      </c>
      <c r="K15" s="13">
        <v>74.41</v>
      </c>
      <c r="L15" s="14">
        <f t="shared" si="8"/>
        <v>63.34</v>
      </c>
    </row>
    <row r="16" spans="1:12">
      <c r="A16" s="12"/>
      <c r="B16" s="12" t="s">
        <v>6</v>
      </c>
      <c r="C16" s="13">
        <v>81.77</v>
      </c>
      <c r="D16" s="13">
        <v>84.11</v>
      </c>
      <c r="E16" s="13">
        <v>77.9</v>
      </c>
      <c r="F16" s="13">
        <v>91.53</v>
      </c>
      <c r="G16" s="14">
        <f t="shared" si="0"/>
        <v>83.8275</v>
      </c>
      <c r="H16" s="13">
        <v>43.71</v>
      </c>
      <c r="I16" s="13">
        <v>68.47</v>
      </c>
      <c r="J16" s="13">
        <v>69.32</v>
      </c>
      <c r="K16" s="13">
        <v>73.92</v>
      </c>
      <c r="L16" s="14">
        <f t="shared" si="8"/>
        <v>63.855</v>
      </c>
    </row>
    <row r="17" spans="1:12">
      <c r="A17" s="12"/>
      <c r="B17" s="12" t="s">
        <v>7</v>
      </c>
      <c r="C17" s="13">
        <f>C16-C15</f>
        <v>13.64</v>
      </c>
      <c r="D17" s="13">
        <f t="shared" ref="D17:L17" si="10">D16-D15</f>
        <v>27.15</v>
      </c>
      <c r="E17" s="13">
        <f t="shared" si="10"/>
        <v>0.140000000000001</v>
      </c>
      <c r="F17" s="13">
        <f t="shared" si="10"/>
        <v>4.91</v>
      </c>
      <c r="G17" s="13">
        <f t="shared" si="10"/>
        <v>11.46</v>
      </c>
      <c r="H17" s="13">
        <f t="shared" si="10"/>
        <v>2.26</v>
      </c>
      <c r="I17" s="13">
        <f t="shared" si="10"/>
        <v>0.260000000000005</v>
      </c>
      <c r="J17" s="13">
        <f t="shared" si="10"/>
        <v>0.0299999999999869</v>
      </c>
      <c r="K17" s="13">
        <f t="shared" si="10"/>
        <v>-0.489999999999995</v>
      </c>
      <c r="L17" s="13">
        <f t="shared" si="10"/>
        <v>0.515000000000008</v>
      </c>
    </row>
    <row r="18" spans="1:12">
      <c r="A18" s="7" t="s">
        <v>12</v>
      </c>
      <c r="B18" s="7" t="s">
        <v>5</v>
      </c>
      <c r="C18" s="7">
        <v>67.84</v>
      </c>
      <c r="D18" s="7">
        <v>67.59</v>
      </c>
      <c r="E18" s="7">
        <v>71.26</v>
      </c>
      <c r="F18" s="7">
        <v>89.74</v>
      </c>
      <c r="G18" s="7">
        <f t="shared" si="0"/>
        <v>74.1075</v>
      </c>
      <c r="H18" s="7">
        <v>32.87</v>
      </c>
      <c r="I18" s="7">
        <v>68.87</v>
      </c>
      <c r="J18" s="7">
        <v>68.46</v>
      </c>
      <c r="K18" s="7">
        <v>73.1</v>
      </c>
      <c r="L18" s="7">
        <f t="shared" si="8"/>
        <v>60.825</v>
      </c>
    </row>
    <row r="19" spans="1:12">
      <c r="A19" s="7"/>
      <c r="B19" s="7" t="s">
        <v>6</v>
      </c>
      <c r="C19" s="7">
        <v>81.69</v>
      </c>
      <c r="D19" s="7">
        <v>82.87</v>
      </c>
      <c r="E19" s="7">
        <v>86.61</v>
      </c>
      <c r="F19" s="7">
        <v>93.6</v>
      </c>
      <c r="G19" s="7">
        <f t="shared" si="0"/>
        <v>86.1925</v>
      </c>
      <c r="H19" s="7">
        <v>48.93</v>
      </c>
      <c r="I19" s="7">
        <v>79.41</v>
      </c>
      <c r="J19" s="7">
        <v>76.37</v>
      </c>
      <c r="K19" s="7">
        <v>75.97</v>
      </c>
      <c r="L19" s="7">
        <f t="shared" si="8"/>
        <v>70.17</v>
      </c>
    </row>
    <row r="20" spans="1:12">
      <c r="A20" s="7"/>
      <c r="B20" s="7" t="s">
        <v>7</v>
      </c>
      <c r="C20" s="7">
        <f>C19-C18</f>
        <v>13.85</v>
      </c>
      <c r="D20" s="7">
        <f t="shared" ref="D20:L20" si="11">D19-D18</f>
        <v>15.28</v>
      </c>
      <c r="E20" s="7">
        <f t="shared" si="11"/>
        <v>15.35</v>
      </c>
      <c r="F20" s="7">
        <f t="shared" si="11"/>
        <v>3.86</v>
      </c>
      <c r="G20" s="7">
        <f t="shared" si="11"/>
        <v>12.085</v>
      </c>
      <c r="H20" s="7">
        <f t="shared" si="11"/>
        <v>16.06</v>
      </c>
      <c r="I20" s="7">
        <f t="shared" si="11"/>
        <v>10.54</v>
      </c>
      <c r="J20" s="7">
        <f t="shared" si="11"/>
        <v>7.91000000000001</v>
      </c>
      <c r="K20" s="7">
        <f t="shared" si="11"/>
        <v>2.87</v>
      </c>
      <c r="L20" s="7">
        <f t="shared" si="11"/>
        <v>9.34500000000001</v>
      </c>
    </row>
    <row r="21" spans="1:12">
      <c r="A21" s="15" t="s">
        <v>13</v>
      </c>
      <c r="B21" s="15" t="s">
        <v>5</v>
      </c>
      <c r="C21" s="16">
        <v>79.25</v>
      </c>
      <c r="D21" s="16">
        <v>79.02</v>
      </c>
      <c r="E21" s="16">
        <v>89.74</v>
      </c>
      <c r="F21" s="16">
        <v>89.55</v>
      </c>
      <c r="G21" s="17">
        <f t="shared" si="0"/>
        <v>84.39</v>
      </c>
      <c r="H21" s="16">
        <v>43.89</v>
      </c>
      <c r="I21" s="16">
        <v>74.8</v>
      </c>
      <c r="J21" s="16">
        <v>76.62</v>
      </c>
      <c r="K21" s="16">
        <v>76.94</v>
      </c>
      <c r="L21" s="17">
        <f t="shared" si="8"/>
        <v>68.0625</v>
      </c>
    </row>
    <row r="22" spans="1:12">
      <c r="A22" s="15"/>
      <c r="B22" s="15" t="s">
        <v>6</v>
      </c>
      <c r="C22" s="16">
        <v>86.66</v>
      </c>
      <c r="D22" s="16">
        <v>84.54</v>
      </c>
      <c r="E22" s="16">
        <v>90.71</v>
      </c>
      <c r="F22" s="16">
        <v>94.88</v>
      </c>
      <c r="G22" s="17">
        <f t="shared" si="0"/>
        <v>89.1975</v>
      </c>
      <c r="H22" s="16">
        <v>44.5</v>
      </c>
      <c r="I22" s="16">
        <v>79.37</v>
      </c>
      <c r="J22" s="16">
        <v>77.22</v>
      </c>
      <c r="K22" s="16">
        <v>78.66</v>
      </c>
      <c r="L22" s="17">
        <f t="shared" si="8"/>
        <v>69.9375</v>
      </c>
    </row>
    <row r="23" spans="1:12">
      <c r="A23" s="15"/>
      <c r="B23" s="15" t="s">
        <v>7</v>
      </c>
      <c r="C23" s="16">
        <f>C22-C21</f>
        <v>7.41</v>
      </c>
      <c r="D23" s="16">
        <f t="shared" ref="D23:L23" si="12">D22-D21</f>
        <v>5.52000000000001</v>
      </c>
      <c r="E23" s="16">
        <f t="shared" si="12"/>
        <v>0.969999999999999</v>
      </c>
      <c r="F23" s="16">
        <f t="shared" si="12"/>
        <v>5.33</v>
      </c>
      <c r="G23" s="16">
        <f t="shared" si="12"/>
        <v>4.80749999999999</v>
      </c>
      <c r="H23" s="16">
        <f t="shared" si="12"/>
        <v>0.609999999999999</v>
      </c>
      <c r="I23" s="16">
        <f t="shared" si="12"/>
        <v>4.57000000000001</v>
      </c>
      <c r="J23" s="16">
        <f t="shared" si="12"/>
        <v>0.599999999999994</v>
      </c>
      <c r="K23" s="16">
        <f t="shared" si="12"/>
        <v>1.72</v>
      </c>
      <c r="L23" s="16">
        <f t="shared" si="12"/>
        <v>1.875</v>
      </c>
    </row>
  </sheetData>
  <mergeCells count="3">
    <mergeCell ref="C1:G1"/>
    <mergeCell ref="H1:L1"/>
    <mergeCell ref="A1:B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牛呆呆</cp:lastModifiedBy>
  <dcterms:created xsi:type="dcterms:W3CDTF">2023-05-12T11:15:00Z</dcterms:created>
  <dcterms:modified xsi:type="dcterms:W3CDTF">2026-04-30T10:39:12Z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0EF7E40BF6B64E4889A0E7D9CB41D9B6_12</vt:lpwstr>
  </property>
  <property fmtid="{D5CDD505-2E9C-101B-9397-08002B2CF9AE}" pid="4" name="CalculationRule">
    <vt:i4>0</vt:i4>
  </property>
</Properties>
</file>