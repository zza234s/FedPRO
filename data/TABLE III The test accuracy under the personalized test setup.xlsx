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<sst xmlns="http://schemas.openxmlformats.org/spreadsheetml/2006/main" count="33" uniqueCount="14">
  <si>
    <t>Method</t>
  </si>
  <si>
    <t>CICIDS</t>
  </si>
  <si>
    <t>NSLKDD</t>
  </si>
  <si>
    <t>Avg</t>
  </si>
  <si>
    <t>Local</t>
  </si>
  <si>
    <t>Base</t>
  </si>
  <si>
    <t>w/FedPRO</t>
  </si>
  <si>
    <t>Imp</t>
  </si>
  <si>
    <t>FedAvg</t>
  </si>
  <si>
    <t>MOON</t>
  </si>
  <si>
    <t>FedProto</t>
  </si>
  <si>
    <t>FedTGP</t>
  </si>
  <si>
    <t>GPFL</t>
  </si>
  <si>
    <t>FedDBE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</si>
</sst>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0"/>
      <color rgb="FF000000"/>
      <name val="Aptos Narrow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5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6" borderId="4">
      <alignment vertical="center"/>
    </xf>
    <xf numFmtId="0" fontId="12" fillId="7" borderId="5">
      <alignment vertical="center"/>
    </xf>
    <xf numFmtId="0" fontId="13" fillId="7" borderId="4">
      <alignment vertical="center"/>
    </xf>
    <xf numFmtId="0" fontId="14" fillId="8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</cellStyleXfs>
  <cellXfs count="1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176" fontId="0" fillId="2" borderId="0" xfId="0" applyNumberFormat="1" applyFill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ill="1">
      <alignment vertical="center"/>
    </xf>
    <xf numFmtId="176" fontId="0" fillId="3" borderId="0" xfId="0" applyNumberFormat="1" applyFill="1">
      <alignment vertical="center"/>
    </xf>
    <xf numFmtId="176" fontId="1" fillId="3" borderId="0" xfId="0" applyNumberFormat="1" applyFont="1" applyFill="1">
      <alignment vertical="center"/>
    </xf>
    <xf numFmtId="0" fontId="0" fillId="4" borderId="0" xfId="0" applyFill="1" applyAlignment="1">
      <alignment horizontal="center" vertical="center"/>
    </xf>
    <xf numFmtId="0" fontId="0" fillId="4" borderId="0" xfId="0" applyFill="1">
      <alignment vertical="center"/>
    </xf>
    <xf numFmtId="176" fontId="1" fillId="4" borderId="0" xfId="0" applyNumberFormat="1" applyFont="1" applyFill="1">
      <alignment vertical="center"/>
    </xf>
    <xf numFmtId="176" fontId="0" fillId="4" borderId="0" xfId="0" applyNumberFormat="1" applyFill="1">
      <alignment vertical="center"/>
    </xf>
    <xf numFmtId="0" fontId="2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7E6E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tabSelected="1" zoomScale="160" zoomScaleNormal="160" topLeftCell="A5" workbookViewId="0">
      <selection activeCell="L5" sqref="L5"/>
    </sheetView>
  </sheetViews>
  <sheetFormatPr defaultColWidth="9" defaultRowHeight="13.5"/>
  <cols>
    <col min="13" max="16" width="13.75"/>
    <col min="18" max="22" width="13.75"/>
  </cols>
  <sheetData>
    <row r="1" customHeight="1" spans="1:12">
      <c r="A1" s="1" t="s">
        <v>0</v>
      </c>
      <c r="B1" s="1"/>
      <c r="C1" s="1" t="s">
        <v>1</v>
      </c>
      <c r="D1" s="1"/>
      <c r="E1" s="1"/>
      <c r="F1" s="1"/>
      <c r="G1" s="1"/>
      <c r="H1" s="1" t="s">
        <v>2</v>
      </c>
      <c r="I1" s="1"/>
      <c r="J1" s="1"/>
      <c r="K1" s="1"/>
      <c r="L1" s="2"/>
    </row>
    <row r="2" spans="1:12">
      <c r="A2" s="1"/>
      <c r="B2" s="1"/>
      <c r="C2" s="3">
        <v>0.1</v>
      </c>
      <c r="D2" s="3">
        <v>0.5</v>
      </c>
      <c r="E2" s="3">
        <v>1</v>
      </c>
      <c r="F2" s="3">
        <v>10</v>
      </c>
      <c r="G2" s="1" t="s">
        <v>3</v>
      </c>
      <c r="H2" s="3">
        <v>0.1</v>
      </c>
      <c r="I2" s="3">
        <v>0.5</v>
      </c>
      <c r="J2" s="3">
        <v>1</v>
      </c>
      <c r="K2" s="3">
        <v>10</v>
      </c>
      <c r="L2" s="4" t="s">
        <v>3</v>
      </c>
    </row>
    <row r="3" spans="1:12">
      <c r="A3" s="5" t="s">
        <v>4</v>
      </c>
      <c r="B3" s="6" t="s">
        <v>5</v>
      </c>
      <c r="C3" s="7">
        <v>97.69</v>
      </c>
      <c r="D3" s="7">
        <v>96.47</v>
      </c>
      <c r="E3" s="7">
        <v>71.77</v>
      </c>
      <c r="F3" s="7">
        <v>95.77</v>
      </c>
      <c r="G3" s="7">
        <f>AVERAGE(C3:F3)</f>
        <v>90.425</v>
      </c>
      <c r="H3" s="7">
        <v>99.82</v>
      </c>
      <c r="I3" s="7">
        <v>98.78</v>
      </c>
      <c r="J3" s="7">
        <v>98.55</v>
      </c>
      <c r="K3" s="7">
        <v>98.51</v>
      </c>
      <c r="L3" s="7">
        <f>AVERAGE(H3:K3)</f>
        <v>98.915</v>
      </c>
    </row>
    <row r="4" spans="1:12">
      <c r="A4" s="5"/>
      <c r="B4" s="6" t="s">
        <v>6</v>
      </c>
      <c r="C4" s="7">
        <v>98.12</v>
      </c>
      <c r="D4" s="7">
        <v>96.31</v>
      </c>
      <c r="E4" s="7">
        <v>76.4</v>
      </c>
      <c r="F4" s="7">
        <v>96.49</v>
      </c>
      <c r="G4" s="7">
        <f>AVERAGE(C4:F4)</f>
        <v>91.83</v>
      </c>
      <c r="H4" s="7">
        <v>99.84</v>
      </c>
      <c r="I4" s="7">
        <v>98.51</v>
      </c>
      <c r="J4" s="7">
        <v>98.52</v>
      </c>
      <c r="K4" s="7">
        <v>98.4</v>
      </c>
      <c r="L4" s="7">
        <f t="shared" ref="L4:L23" si="0">AVERAGE(H4:K4)</f>
        <v>98.8175</v>
      </c>
    </row>
    <row r="5" spans="1:12">
      <c r="A5" s="5"/>
      <c r="B5" s="6" t="s">
        <v>7</v>
      </c>
      <c r="C5" s="7">
        <f>C4-C3</f>
        <v>0.430000000000007</v>
      </c>
      <c r="D5" s="7">
        <f>D4-D3</f>
        <v>-0.159999999999997</v>
      </c>
      <c r="E5" s="7">
        <f>E4-E3</f>
        <v>4.63000000000001</v>
      </c>
      <c r="F5" s="7">
        <f>F4-F3</f>
        <v>0.719999999999999</v>
      </c>
      <c r="G5" s="7">
        <f t="shared" ref="G5:L5" si="1">G4-G3</f>
        <v>1.40500000000002</v>
      </c>
      <c r="H5" s="7">
        <f t="shared" si="1"/>
        <v>0.0200000000000102</v>
      </c>
      <c r="I5" s="7">
        <f t="shared" si="1"/>
        <v>-0.269999999999996</v>
      </c>
      <c r="J5" s="7">
        <f t="shared" si="1"/>
        <v>-0.0300000000000011</v>
      </c>
      <c r="K5" s="7">
        <f t="shared" si="1"/>
        <v>-0.109999999999999</v>
      </c>
      <c r="L5" s="7">
        <f t="shared" si="1"/>
        <v>-0.0975000000000108</v>
      </c>
    </row>
    <row r="6" spans="1:12">
      <c r="A6" s="8" t="s">
        <v>8</v>
      </c>
      <c r="B6" s="9" t="s">
        <v>5</v>
      </c>
      <c r="C6" s="10">
        <v>94.02</v>
      </c>
      <c r="D6" s="10">
        <v>93.33</v>
      </c>
      <c r="E6" s="10">
        <v>93.53</v>
      </c>
      <c r="F6" s="10">
        <v>94.11</v>
      </c>
      <c r="G6" s="10">
        <f t="shared" ref="G4:G23" si="2">AVERAGE(C6:F6)</f>
        <v>93.7475</v>
      </c>
      <c r="H6" s="10">
        <v>98.68</v>
      </c>
      <c r="I6" s="10">
        <v>96.18</v>
      </c>
      <c r="J6" s="10">
        <v>96.48</v>
      </c>
      <c r="K6" s="10">
        <v>96.26</v>
      </c>
      <c r="L6" s="10">
        <f t="shared" si="0"/>
        <v>96.9</v>
      </c>
    </row>
    <row r="7" spans="1:12">
      <c r="A7" s="8"/>
      <c r="B7" s="9" t="s">
        <v>6</v>
      </c>
      <c r="C7" s="10">
        <v>97.3</v>
      </c>
      <c r="D7" s="10">
        <v>94.03</v>
      </c>
      <c r="E7" s="10">
        <v>96.08</v>
      </c>
      <c r="F7" s="10">
        <v>96.42</v>
      </c>
      <c r="G7" s="10">
        <f t="shared" si="2"/>
        <v>95.9575</v>
      </c>
      <c r="H7" s="10">
        <v>99.68</v>
      </c>
      <c r="I7" s="10">
        <v>98.15</v>
      </c>
      <c r="J7" s="10">
        <v>97.3</v>
      </c>
      <c r="K7" s="10">
        <v>97.43</v>
      </c>
      <c r="L7" s="10">
        <f t="shared" si="0"/>
        <v>98.14</v>
      </c>
    </row>
    <row r="8" spans="1:12">
      <c r="A8" s="8"/>
      <c r="B8" s="9" t="s">
        <v>7</v>
      </c>
      <c r="C8" s="10">
        <f>C7-C6</f>
        <v>3.28</v>
      </c>
      <c r="D8" s="10">
        <f t="shared" ref="D8:L8" si="3">D7-D6</f>
        <v>0.700000000000003</v>
      </c>
      <c r="E8" s="10">
        <f t="shared" si="3"/>
        <v>2.55</v>
      </c>
      <c r="F8" s="10">
        <f t="shared" si="3"/>
        <v>2.31</v>
      </c>
      <c r="G8" s="10">
        <f t="shared" si="3"/>
        <v>2.20999999999999</v>
      </c>
      <c r="H8" s="10">
        <f t="shared" si="3"/>
        <v>1</v>
      </c>
      <c r="I8" s="10">
        <f t="shared" si="3"/>
        <v>1.97</v>
      </c>
      <c r="J8" s="10">
        <f t="shared" si="3"/>
        <v>0.819999999999993</v>
      </c>
      <c r="K8" s="10">
        <f t="shared" si="3"/>
        <v>1.17</v>
      </c>
      <c r="L8" s="10">
        <f t="shared" si="3"/>
        <v>1.23999999999999</v>
      </c>
    </row>
    <row r="9" spans="1:12">
      <c r="A9" s="5" t="s">
        <v>9</v>
      </c>
      <c r="B9" s="6" t="s">
        <v>5</v>
      </c>
      <c r="C9" s="7">
        <v>94</v>
      </c>
      <c r="D9" s="7">
        <v>93.37</v>
      </c>
      <c r="E9" s="7">
        <v>89.71</v>
      </c>
      <c r="F9" s="7">
        <v>94.13</v>
      </c>
      <c r="G9" s="7">
        <f t="shared" si="2"/>
        <v>92.8025</v>
      </c>
      <c r="H9" s="7">
        <v>98.68</v>
      </c>
      <c r="I9" s="7">
        <v>96.3</v>
      </c>
      <c r="J9" s="7">
        <v>96.56</v>
      </c>
      <c r="K9" s="7">
        <v>96.27</v>
      </c>
      <c r="L9" s="7">
        <f t="shared" si="0"/>
        <v>96.9525</v>
      </c>
    </row>
    <row r="10" spans="1:12">
      <c r="A10" s="5"/>
      <c r="B10" s="6" t="s">
        <v>6</v>
      </c>
      <c r="C10" s="7">
        <v>97.37</v>
      </c>
      <c r="D10" s="7">
        <v>94.78</v>
      </c>
      <c r="E10" s="7">
        <v>91.44</v>
      </c>
      <c r="F10" s="7">
        <v>96.42</v>
      </c>
      <c r="G10" s="7">
        <f t="shared" si="2"/>
        <v>95.0025</v>
      </c>
      <c r="H10" s="7">
        <v>99.49</v>
      </c>
      <c r="I10" s="7">
        <v>98.23</v>
      </c>
      <c r="J10" s="7">
        <v>97.67</v>
      </c>
      <c r="K10" s="7">
        <v>97.33</v>
      </c>
      <c r="L10" s="7">
        <f t="shared" si="0"/>
        <v>98.18</v>
      </c>
    </row>
    <row r="11" spans="1:12">
      <c r="A11" s="5"/>
      <c r="B11" s="6" t="s">
        <v>7</v>
      </c>
      <c r="C11" s="7">
        <f>C10-C9</f>
        <v>3.37</v>
      </c>
      <c r="D11" s="7">
        <f t="shared" ref="D11:L11" si="4">D10-D9</f>
        <v>1.41</v>
      </c>
      <c r="E11" s="7">
        <f t="shared" si="4"/>
        <v>1.73</v>
      </c>
      <c r="F11" s="7">
        <f t="shared" si="4"/>
        <v>2.29000000000001</v>
      </c>
      <c r="G11" s="7">
        <f>ROUND(G10-G9,2)</f>
        <v>2.2</v>
      </c>
      <c r="H11" s="7">
        <f t="shared" si="4"/>
        <v>0.809999999999988</v>
      </c>
      <c r="I11" s="7">
        <f t="shared" si="4"/>
        <v>1.93000000000001</v>
      </c>
      <c r="J11" s="7">
        <f t="shared" si="4"/>
        <v>1.11</v>
      </c>
      <c r="K11" s="7">
        <f t="shared" si="4"/>
        <v>1.06</v>
      </c>
      <c r="L11" s="7">
        <f t="shared" si="4"/>
        <v>1.22749999999999</v>
      </c>
    </row>
    <row r="12" spans="1:12">
      <c r="A12" s="8" t="s">
        <v>10</v>
      </c>
      <c r="B12" s="9" t="s">
        <v>5</v>
      </c>
      <c r="C12" s="10">
        <v>96.45</v>
      </c>
      <c r="D12" s="10">
        <v>91.3</v>
      </c>
      <c r="E12" s="11">
        <v>73.18</v>
      </c>
      <c r="F12" s="11">
        <v>69.57</v>
      </c>
      <c r="G12" s="10">
        <f t="shared" si="2"/>
        <v>82.625</v>
      </c>
      <c r="H12" s="10">
        <v>99.24</v>
      </c>
      <c r="I12" s="10">
        <v>96.33</v>
      </c>
      <c r="J12" s="10">
        <v>96.6</v>
      </c>
      <c r="K12" s="10">
        <v>97.38</v>
      </c>
      <c r="L12" s="10">
        <f t="shared" si="0"/>
        <v>97.3875</v>
      </c>
    </row>
    <row r="13" spans="1:12">
      <c r="A13" s="8"/>
      <c r="B13" s="9" t="s">
        <v>6</v>
      </c>
      <c r="C13" s="10">
        <v>96.11</v>
      </c>
      <c r="D13" s="10">
        <v>95.4</v>
      </c>
      <c r="E13" s="10">
        <v>92.79</v>
      </c>
      <c r="F13" s="10">
        <v>92.79</v>
      </c>
      <c r="G13" s="10">
        <f t="shared" si="2"/>
        <v>94.2725</v>
      </c>
      <c r="H13" s="10">
        <v>98.77</v>
      </c>
      <c r="I13" s="10">
        <v>97.96</v>
      </c>
      <c r="J13" s="10">
        <v>97.73</v>
      </c>
      <c r="K13" s="10">
        <v>98.17</v>
      </c>
      <c r="L13" s="10">
        <f t="shared" si="0"/>
        <v>98.1575</v>
      </c>
    </row>
    <row r="14" spans="1:12">
      <c r="A14" s="8"/>
      <c r="B14" s="9" t="s">
        <v>7</v>
      </c>
      <c r="C14" s="10">
        <f t="shared" ref="C14:L14" si="5">ROUNDDOWN(C13-C12,2)</f>
        <v>-0.34</v>
      </c>
      <c r="D14" s="10">
        <f t="shared" si="5"/>
        <v>4.1</v>
      </c>
      <c r="E14" s="10">
        <f t="shared" si="5"/>
        <v>19.61</v>
      </c>
      <c r="F14" s="10">
        <f t="shared" si="5"/>
        <v>23.22</v>
      </c>
      <c r="G14" s="10">
        <f t="shared" si="5"/>
        <v>11.64</v>
      </c>
      <c r="H14" s="10">
        <f>H13-H12</f>
        <v>-0.469999999999999</v>
      </c>
      <c r="I14" s="10">
        <f>I13-I12</f>
        <v>1.63</v>
      </c>
      <c r="J14" s="10">
        <f>J13-J12</f>
        <v>1.13000000000001</v>
      </c>
      <c r="K14" s="10">
        <f>K13-K12</f>
        <v>0.790000000000006</v>
      </c>
      <c r="L14" s="10">
        <f>L13-L12</f>
        <v>0.77000000000001</v>
      </c>
    </row>
    <row r="15" spans="1:12">
      <c r="A15" s="5" t="s">
        <v>11</v>
      </c>
      <c r="B15" s="6" t="s">
        <v>5</v>
      </c>
      <c r="C15" s="6">
        <v>97.04</v>
      </c>
      <c r="D15" s="6">
        <v>94</v>
      </c>
      <c r="E15" s="6">
        <v>86.59</v>
      </c>
      <c r="F15" s="6">
        <v>90.02</v>
      </c>
      <c r="G15" s="7">
        <f t="shared" si="2"/>
        <v>91.9125</v>
      </c>
      <c r="H15" s="7">
        <v>99.41</v>
      </c>
      <c r="I15" s="6">
        <v>98.06</v>
      </c>
      <c r="J15" s="6">
        <v>98.21</v>
      </c>
      <c r="K15" s="6">
        <v>98.21</v>
      </c>
      <c r="L15" s="7">
        <f t="shared" si="0"/>
        <v>98.4725</v>
      </c>
    </row>
    <row r="16" spans="1:12">
      <c r="A16" s="5"/>
      <c r="B16" s="6" t="s">
        <v>6</v>
      </c>
      <c r="C16" s="7">
        <v>97.8</v>
      </c>
      <c r="D16" s="6">
        <v>95.77</v>
      </c>
      <c r="E16" s="6">
        <v>93.11</v>
      </c>
      <c r="F16" s="6">
        <v>94.38</v>
      </c>
      <c r="G16" s="7">
        <f t="shared" si="2"/>
        <v>95.265</v>
      </c>
      <c r="H16" s="6">
        <v>99.66</v>
      </c>
      <c r="I16" s="6">
        <v>98.23</v>
      </c>
      <c r="J16" s="6">
        <v>98.26</v>
      </c>
      <c r="K16" s="6">
        <v>98.27</v>
      </c>
      <c r="L16" s="7">
        <f t="shared" si="0"/>
        <v>98.605</v>
      </c>
    </row>
    <row r="17" spans="1:12">
      <c r="A17" s="5"/>
      <c r="B17" s="6" t="s">
        <v>7</v>
      </c>
      <c r="C17" s="7">
        <f>C16-C15</f>
        <v>0.759999999999991</v>
      </c>
      <c r="D17" s="7">
        <f t="shared" ref="D17:L17" si="6">D16-D15</f>
        <v>1.77</v>
      </c>
      <c r="E17" s="7">
        <f t="shared" si="6"/>
        <v>6.52</v>
      </c>
      <c r="F17" s="7">
        <f t="shared" si="6"/>
        <v>4.36</v>
      </c>
      <c r="G17" s="7">
        <f t="shared" si="6"/>
        <v>3.35250000000001</v>
      </c>
      <c r="H17" s="7">
        <f t="shared" si="6"/>
        <v>0.25</v>
      </c>
      <c r="I17" s="7">
        <f t="shared" si="6"/>
        <v>0.170000000000002</v>
      </c>
      <c r="J17" s="7">
        <f t="shared" si="6"/>
        <v>0.0500000000000114</v>
      </c>
      <c r="K17" s="7">
        <f t="shared" si="6"/>
        <v>0.0600000000000023</v>
      </c>
      <c r="L17" s="7">
        <f t="shared" si="6"/>
        <v>0.132499999999993</v>
      </c>
    </row>
    <row r="18" spans="1:12">
      <c r="A18" s="12" t="s">
        <v>12</v>
      </c>
      <c r="B18" s="13" t="s">
        <v>5</v>
      </c>
      <c r="C18" s="14">
        <v>96.92</v>
      </c>
      <c r="D18" s="14">
        <v>95.27</v>
      </c>
      <c r="E18" s="14">
        <v>95.77</v>
      </c>
      <c r="F18" s="14">
        <v>96.08</v>
      </c>
      <c r="G18" s="15">
        <f t="shared" si="2"/>
        <v>96.01</v>
      </c>
      <c r="H18" s="15">
        <v>98.33</v>
      </c>
      <c r="I18" s="15">
        <v>97.86</v>
      </c>
      <c r="J18" s="15">
        <v>97.71</v>
      </c>
      <c r="K18" s="15">
        <v>97.07</v>
      </c>
      <c r="L18" s="15">
        <f t="shared" si="0"/>
        <v>97.7425</v>
      </c>
    </row>
    <row r="19" spans="1:12">
      <c r="A19" s="12"/>
      <c r="B19" s="13" t="s">
        <v>6</v>
      </c>
      <c r="C19" s="14">
        <v>97.11</v>
      </c>
      <c r="D19" s="14">
        <v>95.47</v>
      </c>
      <c r="E19" s="14">
        <v>96.21</v>
      </c>
      <c r="F19" s="14">
        <v>96.16</v>
      </c>
      <c r="G19" s="15">
        <f t="shared" si="2"/>
        <v>96.2375</v>
      </c>
      <c r="H19" s="15">
        <v>99.61</v>
      </c>
      <c r="I19" s="15">
        <v>98.29</v>
      </c>
      <c r="J19" s="15">
        <v>97.92</v>
      </c>
      <c r="K19" s="15">
        <v>97.34</v>
      </c>
      <c r="L19" s="15">
        <f t="shared" si="0"/>
        <v>98.29</v>
      </c>
    </row>
    <row r="20" spans="1:12">
      <c r="A20" s="12"/>
      <c r="B20" s="13" t="s">
        <v>7</v>
      </c>
      <c r="C20" s="15">
        <f>C19-C18</f>
        <v>0.189999999999998</v>
      </c>
      <c r="D20" s="15">
        <f t="shared" ref="D20:L20" si="7">D19-D18</f>
        <v>0.200000000000003</v>
      </c>
      <c r="E20" s="15">
        <f t="shared" si="7"/>
        <v>0.439999999999998</v>
      </c>
      <c r="F20" s="15">
        <f t="shared" si="7"/>
        <v>0.0799999999999983</v>
      </c>
      <c r="G20" s="15">
        <f t="shared" si="7"/>
        <v>0.227499999999992</v>
      </c>
      <c r="H20" s="15">
        <f t="shared" si="7"/>
        <v>1.28</v>
      </c>
      <c r="I20" s="15">
        <f t="shared" si="7"/>
        <v>0.430000000000007</v>
      </c>
      <c r="J20" s="15">
        <f t="shared" si="7"/>
        <v>0.210000000000008</v>
      </c>
      <c r="K20" s="15">
        <f t="shared" si="7"/>
        <v>0.27000000000001</v>
      </c>
      <c r="L20" s="15">
        <f t="shared" si="7"/>
        <v>0.547499999999999</v>
      </c>
    </row>
    <row r="21" spans="1:12">
      <c r="A21" s="5" t="s">
        <v>13</v>
      </c>
      <c r="B21" s="6" t="s">
        <v>5</v>
      </c>
      <c r="C21" s="7">
        <v>94.3</v>
      </c>
      <c r="D21" s="7">
        <v>93.17</v>
      </c>
      <c r="E21" s="7">
        <v>89.77</v>
      </c>
      <c r="F21" s="7">
        <v>94.1</v>
      </c>
      <c r="G21" s="7">
        <f t="shared" si="2"/>
        <v>92.835</v>
      </c>
      <c r="H21" s="7">
        <v>98.73</v>
      </c>
      <c r="I21" s="7">
        <v>96.29</v>
      </c>
      <c r="J21" s="7">
        <v>96.52</v>
      </c>
      <c r="K21" s="7">
        <v>96.18</v>
      </c>
      <c r="L21" s="7">
        <f t="shared" si="0"/>
        <v>96.93</v>
      </c>
    </row>
    <row r="22" spans="1:12">
      <c r="A22" s="5"/>
      <c r="B22" s="6" t="s">
        <v>6</v>
      </c>
      <c r="C22" s="7">
        <v>97.31</v>
      </c>
      <c r="D22" s="7">
        <v>94.41</v>
      </c>
      <c r="E22" s="7">
        <v>92.1</v>
      </c>
      <c r="F22" s="7">
        <v>96.52</v>
      </c>
      <c r="G22" s="7">
        <f t="shared" si="2"/>
        <v>95.085</v>
      </c>
      <c r="H22" s="7">
        <v>99.36</v>
      </c>
      <c r="I22" s="7">
        <v>98.17</v>
      </c>
      <c r="J22" s="7">
        <v>97.28</v>
      </c>
      <c r="K22" s="7">
        <v>97.75</v>
      </c>
      <c r="L22" s="7">
        <f t="shared" si="0"/>
        <v>98.14</v>
      </c>
    </row>
    <row r="23" spans="1:12">
      <c r="A23" s="5"/>
      <c r="B23" s="6" t="s">
        <v>7</v>
      </c>
      <c r="C23" s="7">
        <f>C22-C21</f>
        <v>3.01</v>
      </c>
      <c r="D23" s="7">
        <f t="shared" ref="D23:L23" si="8">D22-D21</f>
        <v>1.23999999999999</v>
      </c>
      <c r="E23" s="7">
        <f t="shared" si="8"/>
        <v>2.33</v>
      </c>
      <c r="F23" s="7">
        <f t="shared" si="8"/>
        <v>2.42</v>
      </c>
      <c r="G23" s="7">
        <f t="shared" si="8"/>
        <v>2.24999999999999</v>
      </c>
      <c r="H23" s="7">
        <f t="shared" si="8"/>
        <v>0.629999999999995</v>
      </c>
      <c r="I23" s="7">
        <f t="shared" si="8"/>
        <v>1.88</v>
      </c>
      <c r="J23" s="7">
        <f t="shared" si="8"/>
        <v>0.760000000000005</v>
      </c>
      <c r="K23" s="7">
        <f t="shared" si="8"/>
        <v>1.56999999999999</v>
      </c>
      <c r="L23" s="7">
        <f t="shared" si="8"/>
        <v>1.20999999999999</v>
      </c>
    </row>
    <row r="28" spans="1:12"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</sheetData>
  <mergeCells count="12">
    <mergeCell ref="C1:G1"/>
    <mergeCell ref="H1:K1"/>
    <mergeCell ref="C28:G28"/>
    <mergeCell ref="H28:L28"/>
    <mergeCell ref="A3:A5"/>
    <mergeCell ref="A6:A8"/>
    <mergeCell ref="A9:A11"/>
    <mergeCell ref="A12:A14"/>
    <mergeCell ref="A15:A17"/>
    <mergeCell ref="A18:A20"/>
    <mergeCell ref="A21:A23"/>
    <mergeCell ref="A1:B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牛呆呆</cp:lastModifiedBy>
  <dcterms:created xsi:type="dcterms:W3CDTF">2023-05-12T11:15:00Z</dcterms:created>
  <dcterms:modified xsi:type="dcterms:W3CDTF">2026-04-30T11:03:41Z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CCEEBA0DBBAB4DE59B0CD89A6777FC27_12</vt:lpwstr>
  </property>
  <property fmtid="{D5CDD505-2E9C-101B-9397-08002B2CF9AE}" pid="4" name="CalculationRule">
    <vt:i4>0</vt:i4>
  </property>
</Properties>
</file>