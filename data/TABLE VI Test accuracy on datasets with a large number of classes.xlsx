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<sst xmlns="http://schemas.openxmlformats.org/spreadsheetml/2006/main" count="28" uniqueCount="11">
  <si>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BODMAS</t>
  </si>
  <si>
    <t>Personlized</t>
  </si>
  <si>
    <t>Global</t>
  </si>
  <si>
    <t>Avg</t>
  </si>
  <si>
    <t>\beta=0.1</t>
  </si>
  <si>
    <t>\beta=10</t>
  </si>
  <si>
    <t>FedAvg</t>
  </si>
  <si>
    <t>w/ FedPRO</t>
  </si>
  <si>
    <t>Imp.</t>
  </si>
  <si>
    <t>FedDBE</t>
  </si>
  <si>
    <t>Ominiglot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</si>
</sst>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145" zoomScaleNormal="145" workbookViewId="0">
      <selection activeCell="G10" sqref="G10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/>
      <c r="D1" t="s">
        <v>2</v>
      </c>
      <c r="E1"/>
      <c r="F1" s="2" t="s">
        <v>3</v>
      </c>
    </row>
    <row r="2" spans="1:6">
      <c r="B2" t="s">
        <v>4</v>
      </c>
      <c r="C2" t="s">
        <v>5</v>
      </c>
      <c r="D2" t="s">
        <v>4</v>
      </c>
      <c r="E2" t="s">
        <v>5</v>
      </c>
    </row>
    <row r="3" spans="1:6">
      <c r="A3" t="s">
        <v>6</v>
      </c>
      <c r="B3" s="3">
        <v>91.98</v>
      </c>
      <c r="C3" s="4">
        <v>88.79</v>
      </c>
      <c r="D3">
        <v>62.64</v>
      </c>
      <c r="E3">
        <v>89.86</v>
      </c>
      <c r="F3" s="5">
        <f t="shared" ref="F3:F8" si="0">AVERAGE(B3:E3)</f>
        <v>83.3175</v>
      </c>
    </row>
    <row r="4" spans="1:6">
      <c r="A4" t="s">
        <v>7</v>
      </c>
      <c r="B4" s="4">
        <v>92.19</v>
      </c>
      <c r="C4" s="4">
        <v>89.12</v>
      </c>
      <c r="D4">
        <v>70.78</v>
      </c>
      <c r="E4" s="4">
        <v>91.12</v>
      </c>
      <c r="F4" s="5">
        <f t="shared" si="0"/>
        <v>85.8025</v>
      </c>
    </row>
    <row r="5" spans="1:6">
      <c r="A5" t="s">
        <v>8</v>
      </c>
      <c r="B5" s="4">
        <f>B4-B3</f>
        <v>0.209999999999994</v>
      </c>
      <c r="C5" s="4">
        <f>C4-C3</f>
        <v>0.329999999999998</v>
      </c>
      <c r="D5" s="4">
        <f>D4-D3</f>
        <v>8.14</v>
      </c>
      <c r="E5" s="4">
        <f>E4-E3</f>
        <v>1.26000000000001</v>
      </c>
      <c r="F5" s="4">
        <f>F4-F3</f>
        <v>2.485</v>
      </c>
    </row>
    <row r="6" spans="1:6">
      <c r="A6" t="s">
        <v>9</v>
      </c>
      <c r="B6" s="4">
        <v>92.39</v>
      </c>
      <c r="C6">
        <v>89.02</v>
      </c>
      <c r="D6">
        <v>63.03</v>
      </c>
      <c r="E6" s="4">
        <v>91.12</v>
      </c>
      <c r="F6" s="5">
        <f t="shared" si="0"/>
        <v>83.89</v>
      </c>
    </row>
    <row r="7" spans="1:6">
      <c r="A7" t="s">
        <v>7</v>
      </c>
      <c r="B7" s="4">
        <v>92.47</v>
      </c>
      <c r="C7">
        <v>89.64</v>
      </c>
      <c r="D7">
        <v>71.68</v>
      </c>
      <c r="E7" s="6">
        <v>91.66</v>
      </c>
      <c r="F7" s="5">
        <f t="shared" si="0"/>
        <v>86.3625</v>
      </c>
    </row>
    <row r="8" spans="1:6">
      <c r="A8" t="s">
        <v>8</v>
      </c>
      <c r="B8" s="4">
        <f>B7-B6</f>
        <v>0.0799999999999983</v>
      </c>
      <c r="C8" s="4">
        <f>C7-C6</f>
        <v>0.620000000000005</v>
      </c>
      <c r="D8" s="4">
        <f>D7-D6</f>
        <v>8.65000000000001</v>
      </c>
      <c r="E8" s="4">
        <f>E7-E6</f>
        <v>0.539999999999992</v>
      </c>
      <c r="F8" s="4">
        <f>F7-F6</f>
        <v>2.47250000000001</v>
      </c>
    </row>
    <row r="11" spans="1:6">
      <c r="A11" s="1" t="s">
        <v>10</v>
      </c>
      <c r="B11" s="1" t="s">
        <v>1</v>
      </c>
      <c r="C11"/>
      <c r="D11" t="s">
        <v>2</v>
      </c>
      <c r="E11"/>
      <c r="F11" s="2" t="s">
        <v>3</v>
      </c>
    </row>
    <row r="12" spans="1:6">
      <c r="B12" t="s">
        <v>4</v>
      </c>
      <c r="C12" t="s">
        <v>5</v>
      </c>
      <c r="D12" t="s">
        <v>4</v>
      </c>
      <c r="E12" t="s">
        <v>5</v>
      </c>
    </row>
    <row r="13" spans="1:6">
      <c r="A13" t="s">
        <v>6</v>
      </c>
      <c r="B13" s="4">
        <v>66.21</v>
      </c>
      <c r="C13" s="4">
        <v>79.11</v>
      </c>
      <c r="D13" s="4">
        <v>71.22</v>
      </c>
      <c r="E13" s="4">
        <v>80.86</v>
      </c>
      <c r="F13" s="5">
        <f t="shared" ref="F13:F17" si="1">AVERAGE(B13:E13)</f>
        <v>74.35</v>
      </c>
    </row>
    <row r="14" spans="1:6">
      <c r="A14" t="s">
        <v>7</v>
      </c>
      <c r="B14" s="4">
        <v>82.84</v>
      </c>
      <c r="C14" s="4">
        <v>80.87</v>
      </c>
      <c r="D14" s="4">
        <v>83.64</v>
      </c>
      <c r="E14" s="4">
        <v>83.03</v>
      </c>
      <c r="F14" s="7">
        <f t="shared" si="1"/>
        <v>82.595</v>
      </c>
    </row>
    <row r="15" spans="1:6">
      <c r="A15" t="s">
        <v>8</v>
      </c>
      <c r="B15" s="4">
        <f t="shared" ref="B15:F15" si="2">B14-B13</f>
        <v>16.63</v>
      </c>
      <c r="C15" s="4">
        <f t="shared" si="2"/>
        <v>1.76000000000001</v>
      </c>
      <c r="D15" s="4">
        <f t="shared" si="2"/>
        <v>12.42</v>
      </c>
      <c r="E15" s="4">
        <f t="shared" si="2"/>
        <v>2.17</v>
      </c>
      <c r="F15" s="7">
        <f t="shared" si="2"/>
        <v>8.245</v>
      </c>
    </row>
    <row r="16" spans="1:6">
      <c r="A16" t="s">
        <v>9</v>
      </c>
      <c r="B16" s="4">
        <v>83.5</v>
      </c>
      <c r="C16" s="4">
        <v>81.1</v>
      </c>
      <c r="D16" s="4">
        <v>69.48</v>
      </c>
      <c r="E16" s="4">
        <v>81.25</v>
      </c>
      <c r="F16" s="5">
        <f t="shared" si="1"/>
        <v>78.8325</v>
      </c>
    </row>
    <row r="17" spans="1:6">
      <c r="A17" t="s">
        <v>7</v>
      </c>
      <c r="B17" s="4">
        <v>88.16</v>
      </c>
      <c r="C17" s="4">
        <v>82.27</v>
      </c>
      <c r="D17" s="4">
        <v>83.29</v>
      </c>
      <c r="E17" s="4">
        <v>82.69</v>
      </c>
      <c r="F17" s="5">
        <f t="shared" si="1"/>
        <v>84.1025</v>
      </c>
    </row>
    <row r="18" spans="1:6">
      <c r="A18" t="s">
        <v>8</v>
      </c>
      <c r="B18" s="4">
        <f t="shared" ref="B18:F18" si="3">B17-B16</f>
        <v>4.66</v>
      </c>
      <c r="C18" s="4">
        <f t="shared" si="3"/>
        <v>1.17</v>
      </c>
      <c r="D18" s="4">
        <f t="shared" si="3"/>
        <v>13.81</v>
      </c>
      <c r="E18" s="4">
        <f t="shared" si="3"/>
        <v>1.44</v>
      </c>
      <c r="F18" s="4">
        <f t="shared" si="3"/>
        <v>5.27000000000001</v>
      </c>
    </row>
  </sheetData>
  <mergeCells count="2">
    <mergeCell ref="F1:F2"/>
    <mergeCell ref="F11:F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2026-04-30T10:53:14Z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675636AC31204972B8BFB34300E6E27F_12</vt:lpwstr>
  </property>
  <property fmtid="{D5CDD505-2E9C-101B-9397-08002B2CF9AE}" pid="4" name="CalculationRule">
    <vt:i4>0</vt:i4>
  </property>
</Properties>
</file>